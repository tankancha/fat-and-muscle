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(16 Mar 26)" sheetId="1" state="visible" r:id="rId1"/>
    <sheet xmlns:r="http://schemas.openxmlformats.org/officeDocument/2006/relationships" name="1st Progress (31 Mar-1 Apr)" sheetId="2" state="visible" r:id="rId2"/>
    <sheet xmlns:r="http://schemas.openxmlformats.org/officeDocument/2006/relationships" name="2nd Progress (20 Apr 26)" sheetId="3" state="visible" r:id="rId3"/>
    <sheet xmlns:r="http://schemas.openxmlformats.org/officeDocument/2006/relationships" name="3rd Progress (5 May 26)" sheetId="4" state="visible" r:id="rId4"/>
    <sheet xmlns:r="http://schemas.openxmlformats.org/officeDocument/2006/relationships" name="4th Progress (19 May 26)" sheetId="5" state="visible" r:id="rId5"/>
    <sheet xmlns:r="http://schemas.openxmlformats.org/officeDocument/2006/relationships"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0;-0.00;0.00"/>
    <numFmt numFmtId="166" formatCode="+0.0;-0.0;0.0"/>
  </numFmts>
  <fonts count="17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color rgb="00FFFFFF"/>
    </font>
    <font>
      <b val="1"/>
    </font>
    <font>
      <color rgb="00006100"/>
    </font>
    <font>
      <color rgb="009C0006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10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EBF3F9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2EC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2F9EE"/>
      </patternFill>
    </fill>
    <fill>
      <patternFill patternType="solid">
        <fgColor rgb="003F3F76"/>
      </patternFill>
    </fill>
    <fill>
      <patternFill patternType="solid">
        <fgColor rgb="005B5EA6"/>
      </patternFill>
    </fill>
    <fill>
      <patternFill patternType="solid">
        <fgColor rgb="00EEEEFF"/>
      </patternFill>
    </fill>
    <fill>
      <patternFill patternType="solid">
        <fgColor rgb="00F8F8FF"/>
      </patternFill>
    </fill>
    <fill>
      <patternFill patternType="solid">
        <fgColor rgb="00D6E4F0"/>
      </patternFill>
    </fill>
    <fill>
      <patternFill patternType="solid">
        <fgColor rgb="00D9D9D9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left" vertical="center"/>
    </xf>
    <xf numFmtId="164" fontId="10" fillId="18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/>
    </xf>
    <xf numFmtId="164" fontId="10" fillId="0" borderId="2" applyAlignment="1" pivotButton="0" quotePrefix="0" xfId="0">
      <alignment horizontal="center" vertical="center" wrapText="1"/>
    </xf>
    <xf numFmtId="0" fontId="10" fillId="18" borderId="2" applyAlignment="1" pivotButton="0" quotePrefix="0" xfId="0">
      <alignment horizontal="left" vertical="center"/>
    </xf>
    <xf numFmtId="0" fontId="9" fillId="19" borderId="2" applyAlignment="1" pivotButton="0" quotePrefix="0" xfId="0">
      <alignment horizontal="left" vertical="center"/>
    </xf>
    <xf numFmtId="164" fontId="9" fillId="1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2" fontId="10" fillId="18" borderId="2" applyAlignment="1" pivotButton="0" quotePrefix="0" xfId="0">
      <alignment horizontal="center" vertical="center" wrapText="1"/>
    </xf>
    <xf numFmtId="0" fontId="10" fillId="21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/>
    </xf>
    <xf numFmtId="2" fontId="10" fillId="0" borderId="2" applyAlignment="1" pivotButton="0" quotePrefix="0" xfId="0">
      <alignment horizontal="center" vertical="center" wrapText="1"/>
    </xf>
    <xf numFmtId="2" fontId="10" fillId="12" borderId="2" applyAlignment="1" pivotButton="0" quotePrefix="0" xfId="0">
      <alignment horizontal="center" vertical="center" wrapText="1"/>
    </xf>
    <xf numFmtId="165" fontId="11" fillId="21" borderId="2" applyAlignment="1" pivotButton="0" quotePrefix="0" xfId="0">
      <alignment horizontal="center" vertical="center" wrapText="1"/>
    </xf>
    <xf numFmtId="165" fontId="12" fillId="21" borderId="2" applyAlignment="1" pivotButton="0" quotePrefix="0" xfId="0">
      <alignment horizontal="center" vertical="center" wrapText="1"/>
    </xf>
    <xf numFmtId="2" fontId="9" fillId="19" borderId="2" applyAlignment="1" pivotButton="0" quotePrefix="0" xfId="0">
      <alignment horizontal="center" vertical="center" wrapText="1"/>
    </xf>
    <xf numFmtId="165" fontId="9" fillId="19" borderId="2" applyAlignment="1" pivotButton="0" quotePrefix="0" xfId="0">
      <alignment horizontal="center" vertical="center" wrapText="1"/>
    </xf>
    <xf numFmtId="165" fontId="10" fillId="21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left" vertical="center"/>
    </xf>
    <xf numFmtId="164" fontId="16" fillId="22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/>
    </xf>
    <xf numFmtId="164" fontId="16" fillId="18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left" vertical="center"/>
    </xf>
    <xf numFmtId="164" fontId="15" fillId="21" borderId="1" applyAlignment="1" pivotButton="0" quotePrefix="0" xfId="0">
      <alignment horizontal="center" vertical="center" wrapText="1"/>
    </xf>
    <xf numFmtId="166" fontId="16" fillId="22" borderId="1" applyAlignment="1" pivotButton="0" quotePrefix="0" xfId="0">
      <alignment horizontal="center" vertical="center" wrapText="1"/>
    </xf>
    <xf numFmtId="166" fontId="16" fillId="18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6" fontId="16" fillId="22" borderId="1" applyAlignment="1" pivotButton="0" quotePrefix="0" xfId="0">
      <alignment horizontal="center" vertical="center" wrapText="1"/>
    </xf>
    <xf numFmtId="166" fontId="16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>
      <c r="A1" s="1" t="inlineStr">
        <is>
          <t>Fat &amp; Muscle Campaign — Baseline Measurements (16 Mar 2026)</t>
        </is>
      </c>
    </row>
    <row r="2">
      <c r="A2" s="2" t="inlineStr">
        <is>
          <t>Name</t>
        </is>
      </c>
      <c r="B2" s="2" t="inlineStr">
        <is>
          <t>Meas 1
Body Fat %</t>
        </is>
      </c>
      <c r="C2" s="2" t="inlineStr">
        <is>
          <t>Meas 1
Muscle %</t>
        </is>
      </c>
      <c r="D2" s="2" t="inlineStr">
        <is>
          <t>Meas 2
Body Fat %</t>
        </is>
      </c>
      <c r="E2" s="2" t="inlineStr">
        <is>
          <t>Meas 2
Muscle %</t>
        </is>
      </c>
      <c r="F2" s="2" t="inlineStr">
        <is>
          <t>Avg Body Fat %</t>
        </is>
      </c>
      <c r="G2" s="2" t="inlineStr">
        <is>
          <t>Avg Muscle %</t>
        </is>
      </c>
    </row>
    <row r="3">
      <c r="A3" s="3" t="inlineStr">
        <is>
          <t>Ohm</t>
        </is>
      </c>
      <c r="B3" s="3" t="n">
        <v>36.9</v>
      </c>
      <c r="C3" s="3" t="n">
        <v>59.7</v>
      </c>
      <c r="D3" s="3" t="n">
        <v>36.9</v>
      </c>
      <c r="E3" s="3" t="n">
        <v>59.7</v>
      </c>
      <c r="F3" s="3" t="n">
        <v>36.9</v>
      </c>
      <c r="G3" s="3" t="n">
        <v>59.7</v>
      </c>
    </row>
    <row r="4">
      <c r="A4" s="4" t="inlineStr">
        <is>
          <t>Maneenund</t>
        </is>
      </c>
      <c r="B4" s="4" t="n">
        <v>39.6</v>
      </c>
      <c r="C4" s="4" t="n">
        <v>56.8</v>
      </c>
      <c r="D4" s="4" t="n">
        <v>39.6</v>
      </c>
      <c r="E4" s="4" t="n">
        <v>56.8</v>
      </c>
      <c r="F4" s="4" t="n">
        <v>39.6</v>
      </c>
      <c r="G4" s="4" t="n">
        <v>56.8</v>
      </c>
    </row>
    <row r="5">
      <c r="A5" s="3" t="inlineStr">
        <is>
          <t>Wason</t>
        </is>
      </c>
      <c r="B5" s="3" t="n">
        <v>30.1</v>
      </c>
      <c r="C5" s="3" t="n">
        <v>66.2</v>
      </c>
      <c r="D5" s="3" t="n">
        <v>30.1</v>
      </c>
      <c r="E5" s="3" t="n">
        <v>66.2</v>
      </c>
      <c r="F5" s="3" t="n">
        <v>30.1</v>
      </c>
      <c r="G5" s="3" t="n">
        <v>66.2</v>
      </c>
    </row>
    <row r="6">
      <c r="A6" s="4" t="inlineStr">
        <is>
          <t>Pipat</t>
        </is>
      </c>
      <c r="B6" s="4" t="n">
        <v>21.9</v>
      </c>
      <c r="C6" s="4" t="n">
        <v>73.90000000000001</v>
      </c>
      <c r="D6" s="4" t="n">
        <v>21.9</v>
      </c>
      <c r="E6" s="4" t="n">
        <v>73.90000000000001</v>
      </c>
      <c r="F6" s="4" t="n">
        <v>21.9</v>
      </c>
      <c r="G6" s="4" t="n">
        <v>73.90000000000001</v>
      </c>
    </row>
    <row r="7">
      <c r="A7" s="3" t="inlineStr">
        <is>
          <t>Pruang</t>
        </is>
      </c>
      <c r="B7" s="3" t="n">
        <v>19.6</v>
      </c>
      <c r="C7" s="3" t="n">
        <v>76.09999999999999</v>
      </c>
      <c r="D7" s="3" t="n">
        <v>19.6</v>
      </c>
      <c r="E7" s="3" t="n">
        <v>76.09999999999999</v>
      </c>
      <c r="F7" s="3" t="n">
        <v>19.6</v>
      </c>
      <c r="G7" s="3" t="n">
        <v>76.09999999999999</v>
      </c>
    </row>
    <row r="8">
      <c r="A8" s="4" t="inlineStr">
        <is>
          <t>Nott</t>
        </is>
      </c>
      <c r="B8" s="4" t="n">
        <v>23.3</v>
      </c>
      <c r="C8" s="4" t="n">
        <v>72.59999999999999</v>
      </c>
      <c r="D8" s="4" t="n">
        <v>23.3</v>
      </c>
      <c r="E8" s="4" t="n">
        <v>72.59999999999999</v>
      </c>
      <c r="F8" s="4" t="n">
        <v>23.3</v>
      </c>
      <c r="G8" s="4" t="n">
        <v>72.59999999999999</v>
      </c>
    </row>
    <row r="9">
      <c r="A9" s="3" t="inlineStr">
        <is>
          <t>Orawan</t>
        </is>
      </c>
      <c r="B9" s="3" t="n">
        <v>37.6</v>
      </c>
      <c r="C9" s="3" t="n">
        <v>58.6</v>
      </c>
      <c r="D9" s="3" t="n">
        <v>37.6</v>
      </c>
      <c r="E9" s="3" t="n">
        <v>58.6</v>
      </c>
      <c r="F9" s="3" t="n">
        <v>37.6</v>
      </c>
      <c r="G9" s="3" t="n">
        <v>58.6</v>
      </c>
    </row>
    <row r="10">
      <c r="A10" s="4" t="inlineStr">
        <is>
          <t>Jue</t>
        </is>
      </c>
      <c r="B10" s="4" t="n">
        <v>29.2</v>
      </c>
      <c r="C10" s="4" t="n">
        <v>67</v>
      </c>
      <c r="D10" s="4" t="n">
        <v>29.2</v>
      </c>
      <c r="E10" s="4" t="n">
        <v>67</v>
      </c>
      <c r="F10" s="4" t="n">
        <v>29.2</v>
      </c>
      <c r="G10" s="4" t="n">
        <v>67</v>
      </c>
    </row>
    <row r="11">
      <c r="A11" s="3" t="inlineStr">
        <is>
          <t>Ann</t>
        </is>
      </c>
      <c r="B11" s="3" t="n">
        <v>24.5</v>
      </c>
      <c r="C11" s="3" t="n">
        <v>71.40000000000001</v>
      </c>
      <c r="D11" s="3" t="n">
        <v>24.5</v>
      </c>
      <c r="E11" s="3" t="n">
        <v>71.40000000000001</v>
      </c>
      <c r="F11" s="3" t="n">
        <v>24.5</v>
      </c>
      <c r="G11" s="3" t="n">
        <v>71.40000000000001</v>
      </c>
    </row>
    <row r="12">
      <c r="A12" s="4" t="inlineStr">
        <is>
          <t>Piyathida</t>
        </is>
      </c>
      <c r="B12" s="4" t="n">
        <v>22.8</v>
      </c>
      <c r="C12" s="4" t="n">
        <v>72.8</v>
      </c>
      <c r="D12" s="4" t="n">
        <v>22.7</v>
      </c>
      <c r="E12" s="4" t="n">
        <v>72.8</v>
      </c>
      <c r="F12" s="4" t="n">
        <v>22.75</v>
      </c>
      <c r="G12" s="4" t="n">
        <v>72.8</v>
      </c>
    </row>
    <row r="13">
      <c r="A13" s="3" t="inlineStr">
        <is>
          <t>Best</t>
        </is>
      </c>
      <c r="B13" s="3" t="n">
        <v>26.7</v>
      </c>
      <c r="C13" s="3" t="n">
        <v>69.5</v>
      </c>
      <c r="D13" s="3" t="n"/>
      <c r="E13" s="3" t="n"/>
      <c r="F13" s="3" t="n">
        <v>26.7</v>
      </c>
      <c r="G13" s="3" t="n">
        <v>69.5</v>
      </c>
    </row>
    <row r="14">
      <c r="A14" s="4" t="inlineStr">
        <is>
          <t>Sonny</t>
        </is>
      </c>
      <c r="B14" s="4" t="n">
        <v>21.1</v>
      </c>
      <c r="C14" s="4" t="n">
        <v>74.59999999999999</v>
      </c>
      <c r="D14" s="4" t="n">
        <v>21.2</v>
      </c>
      <c r="E14" s="4" t="n">
        <v>74.5</v>
      </c>
      <c r="F14" s="4" t="n">
        <v>21.15</v>
      </c>
      <c r="G14" s="4" t="n">
        <v>74.55</v>
      </c>
    </row>
    <row r="15">
      <c r="A15" s="3" t="inlineStr">
        <is>
          <t>Bob</t>
        </is>
      </c>
      <c r="B15" s="3" t="n">
        <v>32.7</v>
      </c>
      <c r="C15" s="3" t="n">
        <v>63.7</v>
      </c>
      <c r="D15" s="3" t="n">
        <v>32.7</v>
      </c>
      <c r="E15" s="3" t="n">
        <v>63.7</v>
      </c>
      <c r="F15" s="3" t="n">
        <v>32.7</v>
      </c>
      <c r="G15" s="3" t="n">
        <v>63.7</v>
      </c>
    </row>
    <row r="16">
      <c r="A16" s="4" t="inlineStr">
        <is>
          <t>Ben</t>
        </is>
      </c>
      <c r="B16" s="4" t="n">
        <v>27.4</v>
      </c>
      <c r="C16" s="4" t="n">
        <v>68.59999999999999</v>
      </c>
      <c r="D16" s="4" t="n">
        <v>27.4</v>
      </c>
      <c r="E16" s="4" t="n">
        <v>68.59999999999999</v>
      </c>
      <c r="F16" s="4" t="n">
        <v>27.4</v>
      </c>
      <c r="G16" s="4" t="n">
        <v>68.59999999999999</v>
      </c>
    </row>
    <row r="17">
      <c r="A17" s="5" t="inlineStr">
        <is>
          <t>GROUP AVERAGE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6" t="inlineStr">
        <is>
          <t>Fat &amp; Muscle Campaign — 1st Progress Measurements (31 Mar – 1 Apr 2026)</t>
        </is>
      </c>
    </row>
    <row r="2">
      <c r="A2" s="7" t="inlineStr">
        <is>
          <t>Name</t>
        </is>
      </c>
      <c r="B2" s="7" t="inlineStr">
        <is>
          <t>Body Fat %</t>
        </is>
      </c>
      <c r="C2" s="7" t="inlineStr">
        <is>
          <t>Muscle %</t>
        </is>
      </c>
    </row>
    <row r="3">
      <c r="A3" s="8" t="inlineStr">
        <is>
          <t>Piyathida</t>
        </is>
      </c>
      <c r="B3" s="8" t="n">
        <v>23.1</v>
      </c>
      <c r="C3" s="8" t="n">
        <v>72.5</v>
      </c>
    </row>
    <row r="4">
      <c r="A4" s="9" t="inlineStr">
        <is>
          <t>Pipat</t>
        </is>
      </c>
      <c r="B4" s="9" t="n">
        <v>21.9</v>
      </c>
      <c r="C4" s="9" t="n">
        <v>74</v>
      </c>
    </row>
    <row r="5">
      <c r="A5" s="8" t="inlineStr">
        <is>
          <t>Nott</t>
        </is>
      </c>
      <c r="B5" s="8" t="n">
        <v>23.9</v>
      </c>
      <c r="C5" s="8" t="n">
        <v>72.09999999999999</v>
      </c>
    </row>
    <row r="6">
      <c r="A6" s="9" t="inlineStr">
        <is>
          <t>Ohm</t>
        </is>
      </c>
      <c r="B6" s="9" t="n">
        <v>37</v>
      </c>
      <c r="C6" s="9" t="n">
        <v>59.7</v>
      </c>
    </row>
    <row r="7">
      <c r="A7" s="8" t="inlineStr">
        <is>
          <t>Orawan</t>
        </is>
      </c>
      <c r="B7" s="8" t="n">
        <v>37.2</v>
      </c>
      <c r="C7" s="8" t="n">
        <v>59</v>
      </c>
    </row>
    <row r="8">
      <c r="A8" s="9" t="inlineStr">
        <is>
          <t>Jue</t>
        </is>
      </c>
      <c r="B8" s="9" t="n">
        <v>28.8</v>
      </c>
      <c r="C8" s="9" t="n">
        <v>67.40000000000001</v>
      </c>
    </row>
    <row r="9">
      <c r="A9" s="8" t="inlineStr">
        <is>
          <t>Pruang</t>
        </is>
      </c>
      <c r="B9" s="8" t="n">
        <v>19.6</v>
      </c>
      <c r="C9" s="8" t="n">
        <v>76</v>
      </c>
    </row>
    <row r="10">
      <c r="A10" s="9" t="inlineStr">
        <is>
          <t>Sonny</t>
        </is>
      </c>
      <c r="B10" s="9" t="n">
        <v>20.8</v>
      </c>
      <c r="C10" s="9" t="n">
        <v>74.8</v>
      </c>
    </row>
    <row r="11">
      <c r="A11" s="8" t="inlineStr">
        <is>
          <t>Ann</t>
        </is>
      </c>
      <c r="B11" s="8" t="n">
        <v>24.7</v>
      </c>
      <c r="C11" s="8" t="n">
        <v>71.40000000000001</v>
      </c>
    </row>
    <row r="12">
      <c r="A12" s="9" t="inlineStr">
        <is>
          <t>Maneenund</t>
        </is>
      </c>
      <c r="B12" s="9" t="n">
        <v>39</v>
      </c>
      <c r="C12" s="9" t="n">
        <v>57.3</v>
      </c>
    </row>
    <row r="13">
      <c r="A13" s="8" t="inlineStr">
        <is>
          <t>Bob</t>
        </is>
      </c>
      <c r="B13" s="8" t="n">
        <v>32.6</v>
      </c>
      <c r="C13" s="8" t="n">
        <v>63.9</v>
      </c>
    </row>
    <row r="14">
      <c r="A14" s="10" t="inlineStr">
        <is>
          <t>GROUP AVERAGE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</cols>
  <sheetData>
    <row r="1">
      <c r="A1" s="11" t="inlineStr">
        <is>
          <t>Fat &amp; Muscle Campaign — 2nd Progress Measurements (20 Apr 2026)</t>
        </is>
      </c>
    </row>
    <row r="2">
      <c r="A2" s="12" t="inlineStr">
        <is>
          <t>Name</t>
        </is>
      </c>
      <c r="B2" s="12" t="inlineStr">
        <is>
          <t>Body Fat %</t>
        </is>
      </c>
      <c r="C2" s="12" t="inlineStr">
        <is>
          <t>Muscle %</t>
        </is>
      </c>
    </row>
    <row r="3">
      <c r="A3" s="13" t="inlineStr">
        <is>
          <t>Ohm</t>
        </is>
      </c>
      <c r="B3" s="13" t="n">
        <v>36.3</v>
      </c>
      <c r="C3" s="13" t="n">
        <v>60.4</v>
      </c>
    </row>
    <row r="4">
      <c r="A4" s="14" t="inlineStr">
        <is>
          <t>Pipat</t>
        </is>
      </c>
      <c r="B4" s="14" t="n">
        <v>21</v>
      </c>
      <c r="C4" s="14" t="n">
        <v>74.8</v>
      </c>
    </row>
    <row r="5">
      <c r="A5" s="13" t="inlineStr">
        <is>
          <t>Jue</t>
        </is>
      </c>
      <c r="B5" s="13" t="n">
        <v>28.7</v>
      </c>
      <c r="C5" s="13" t="n">
        <v>67.5</v>
      </c>
    </row>
    <row r="6">
      <c r="A6" s="14" t="inlineStr">
        <is>
          <t>Bob</t>
        </is>
      </c>
      <c r="B6" s="14" t="n">
        <v>31.9</v>
      </c>
      <c r="C6" s="14" t="n">
        <v>64.40000000000001</v>
      </c>
    </row>
    <row r="7">
      <c r="A7" s="13" t="inlineStr">
        <is>
          <t>Piyathida</t>
        </is>
      </c>
      <c r="B7" s="13" t="n">
        <v>23.6</v>
      </c>
      <c r="C7" s="13" t="n">
        <v>72</v>
      </c>
    </row>
    <row r="8">
      <c r="A8" s="14" t="inlineStr">
        <is>
          <t>Sonny</t>
        </is>
      </c>
      <c r="B8" s="14" t="n">
        <v>20.8</v>
      </c>
      <c r="C8" s="14" t="n">
        <v>74.90000000000001</v>
      </c>
    </row>
    <row r="9">
      <c r="A9" s="13" t="inlineStr">
        <is>
          <t>Best</t>
        </is>
      </c>
      <c r="B9" s="13" t="n">
        <v>26</v>
      </c>
      <c r="C9" s="13" t="n">
        <v>70.09999999999999</v>
      </c>
    </row>
    <row r="10">
      <c r="A10" s="14" t="inlineStr">
        <is>
          <t>Orawan</t>
        </is>
      </c>
      <c r="B10" s="14" t="n">
        <v>36.5</v>
      </c>
      <c r="C10" s="14" t="n">
        <v>59.7</v>
      </c>
    </row>
    <row r="11">
      <c r="A11" s="13" t="inlineStr">
        <is>
          <t>Wason</t>
        </is>
      </c>
      <c r="B11" s="13" t="n">
        <v>29.6</v>
      </c>
      <c r="C11" s="13" t="n">
        <v>66.7</v>
      </c>
    </row>
    <row r="12">
      <c r="A12" s="14" t="inlineStr">
        <is>
          <t>Ben</t>
        </is>
      </c>
      <c r="B12" s="14" t="n">
        <v>26.3</v>
      </c>
      <c r="C12" s="14" t="n">
        <v>69.8</v>
      </c>
    </row>
    <row r="13">
      <c r="A13" s="24" t="inlineStr">
        <is>
          <t>Pruang</t>
        </is>
      </c>
      <c r="B13" s="24" t="n">
        <v>19.3</v>
      </c>
      <c r="C13" s="24" t="n">
        <v>76.2</v>
      </c>
    </row>
    <row r="14">
      <c r="A14" s="24" t="inlineStr">
        <is>
          <t>Maneenund</t>
        </is>
      </c>
      <c r="B14" s="24" t="n">
        <v>39</v>
      </c>
      <c r="C14" s="24" t="n">
        <v>57.3</v>
      </c>
    </row>
    <row r="15">
      <c r="A15" t="inlineStr">
        <is>
          <t>Nott</t>
        </is>
      </c>
      <c r="B15" t="n">
        <v>22.7</v>
      </c>
      <c r="C15" t="n">
        <v>73.09999999999999</v>
      </c>
    </row>
    <row r="16">
      <c r="A16" t="inlineStr">
        <is>
          <t>Ann</t>
        </is>
      </c>
      <c r="B16" t="n">
        <v>24.6</v>
      </c>
      <c r="C16" t="n">
        <v>71.3</v>
      </c>
    </row>
    <row r="17">
      <c r="A17" s="15" t="inlineStr">
        <is>
          <t>GROUP AVERAGE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 ht="22" customHeight="1">
      <c r="A1" s="26" t="inlineStr">
        <is>
          <t>Fat &amp; Muscle Campaign — 3rd Progress Measurements (5 May 2026)</t>
        </is>
      </c>
    </row>
    <row r="2" ht="18" customHeight="1">
      <c r="A2" s="27" t="inlineStr">
        <is>
          <t>Name</t>
        </is>
      </c>
      <c r="B2" s="27" t="inlineStr">
        <is>
          <t>Body Fat %</t>
        </is>
      </c>
      <c r="C2" s="27" t="inlineStr">
        <is>
          <t>Muscle %</t>
        </is>
      </c>
    </row>
    <row r="3">
      <c r="A3" s="28" t="inlineStr">
        <is>
          <t>Wason</t>
        </is>
      </c>
      <c r="B3" s="29" t="n">
        <v>30</v>
      </c>
      <c r="C3" s="29" t="n">
        <v>66.40000000000001</v>
      </c>
    </row>
    <row r="4">
      <c r="A4" s="30" t="inlineStr">
        <is>
          <t>Ben</t>
        </is>
      </c>
      <c r="B4" s="31" t="n">
        <v>26.2</v>
      </c>
      <c r="C4" s="31" t="n">
        <v>69.8</v>
      </c>
    </row>
    <row r="5">
      <c r="A5" s="32" t="inlineStr">
        <is>
          <t>Bob</t>
        </is>
      </c>
      <c r="B5" s="29" t="n">
        <v>31.9</v>
      </c>
      <c r="C5" s="29" t="n">
        <v>64.5</v>
      </c>
    </row>
    <row r="6">
      <c r="A6" s="30" t="inlineStr">
        <is>
          <t>Nott</t>
        </is>
      </c>
      <c r="B6" s="31" t="n">
        <v>22.6</v>
      </c>
      <c r="C6" s="31" t="n">
        <v>73.40000000000001</v>
      </c>
    </row>
    <row r="7">
      <c r="A7" s="32" t="inlineStr">
        <is>
          <t>Ohm</t>
        </is>
      </c>
      <c r="B7" s="29" t="n">
        <v>36.1</v>
      </c>
      <c r="C7" s="29" t="n">
        <v>60.5</v>
      </c>
    </row>
    <row r="8">
      <c r="A8" s="30" t="inlineStr">
        <is>
          <t>Orawan</t>
        </is>
      </c>
      <c r="B8" s="31" t="n">
        <v>36.9</v>
      </c>
      <c r="C8" s="31" t="n">
        <v>59.2</v>
      </c>
    </row>
    <row r="9">
      <c r="A9" s="32" t="inlineStr">
        <is>
          <t>Pipat</t>
        </is>
      </c>
      <c r="B9" s="29" t="n">
        <v>20.9</v>
      </c>
      <c r="C9" s="29" t="n">
        <v>74.90000000000001</v>
      </c>
    </row>
    <row r="10">
      <c r="A10" s="30" t="inlineStr">
        <is>
          <t>Piyathida</t>
        </is>
      </c>
      <c r="B10" s="31" t="n">
        <v>23</v>
      </c>
      <c r="C10" s="31" t="n">
        <v>72.59999999999999</v>
      </c>
    </row>
    <row r="11">
      <c r="A11" s="32" t="inlineStr">
        <is>
          <t>Sonny</t>
        </is>
      </c>
      <c r="B11" s="29" t="n">
        <v>20.7</v>
      </c>
      <c r="C11" s="29" t="n">
        <v>75</v>
      </c>
    </row>
    <row r="12">
      <c r="A12" t="inlineStr">
        <is>
          <t>Jue</t>
        </is>
      </c>
      <c r="B12" t="n">
        <v>29.3</v>
      </c>
      <c r="C12" t="n">
        <v>67</v>
      </c>
    </row>
    <row r="13">
      <c r="A13" t="inlineStr">
        <is>
          <t>Maneenund</t>
        </is>
      </c>
      <c r="B13" t="n">
        <v>38.4</v>
      </c>
      <c r="C13" t="n">
        <v>57.8</v>
      </c>
    </row>
    <row r="14">
      <c r="A14" t="inlineStr">
        <is>
          <t>Ann</t>
        </is>
      </c>
      <c r="B14" t="n">
        <v>23.7</v>
      </c>
      <c r="C14" t="n">
        <v>72.09999999999999</v>
      </c>
    </row>
    <row r="15">
      <c r="A15" t="inlineStr">
        <is>
          <t>Pruang</t>
        </is>
      </c>
      <c r="B15" t="n">
        <v>19.9</v>
      </c>
      <c r="C15" t="n">
        <v>75.7</v>
      </c>
    </row>
    <row r="16">
      <c r="A16" s="33" t="inlineStr">
        <is>
          <t>GROUP AVERAGE</t>
        </is>
      </c>
      <c r="B16" s="34">
        <f>AVERAGE(B3:B15)</f>
        <v/>
      </c>
      <c r="C16" s="34">
        <f>AVERAGE(C3:C15)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 ht="22" customHeight="1">
      <c r="A1" s="49" t="inlineStr">
        <is>
          <t>Fat &amp; Muscle Campaign — 4th Progress Measurements (19 May 2026)</t>
        </is>
      </c>
      <c r="B1" s="59" t="n"/>
      <c r="C1" s="60" t="n"/>
    </row>
    <row r="2" ht="20" customHeight="1">
      <c r="A2" s="50" t="inlineStr">
        <is>
          <t>Name</t>
        </is>
      </c>
      <c r="B2" s="50" t="inlineStr">
        <is>
          <t>Body Fat %</t>
        </is>
      </c>
      <c r="C2" s="50" t="inlineStr">
        <is>
          <t>Muscle %</t>
        </is>
      </c>
    </row>
    <row r="3">
      <c r="A3" s="51" t="inlineStr">
        <is>
          <t>Wason</t>
        </is>
      </c>
      <c r="B3" s="52" t="n">
        <v>29.7</v>
      </c>
      <c r="C3" s="52" t="n">
        <v>66.59999999999999</v>
      </c>
    </row>
    <row r="4">
      <c r="A4" s="53" t="inlineStr">
        <is>
          <t>Ben</t>
        </is>
      </c>
      <c r="B4" s="54" t="n">
        <v>26</v>
      </c>
      <c r="C4" s="54" t="n">
        <v>70.09999999999999</v>
      </c>
    </row>
    <row r="5">
      <c r="A5" s="51" t="inlineStr">
        <is>
          <t>Best</t>
        </is>
      </c>
      <c r="B5" s="52" t="n">
        <v>25</v>
      </c>
      <c r="C5" s="52" t="n">
        <v>71</v>
      </c>
    </row>
    <row r="6">
      <c r="A6" s="53" t="inlineStr">
        <is>
          <t>Bob</t>
        </is>
      </c>
      <c r="B6" s="54" t="n">
        <v>31.6</v>
      </c>
      <c r="C6" s="54" t="n">
        <v>64.7</v>
      </c>
    </row>
    <row r="7">
      <c r="A7" s="51" t="inlineStr">
        <is>
          <t>Jue</t>
        </is>
      </c>
      <c r="B7" s="52" t="n">
        <v>29.2</v>
      </c>
      <c r="C7" s="52" t="n">
        <v>67</v>
      </c>
    </row>
    <row r="8">
      <c r="A8" s="53" t="inlineStr">
        <is>
          <t>Maneenund</t>
        </is>
      </c>
      <c r="B8" s="54" t="n">
        <v>38.4</v>
      </c>
      <c r="C8" s="54" t="n">
        <v>57.9</v>
      </c>
    </row>
    <row r="9">
      <c r="A9" s="51" t="inlineStr">
        <is>
          <t>Piyathida</t>
        </is>
      </c>
      <c r="B9" s="52" t="n">
        <v>22.5</v>
      </c>
      <c r="C9" s="52" t="n">
        <v>73.09999999999999</v>
      </c>
    </row>
    <row r="10">
      <c r="A10" s="53" t="inlineStr">
        <is>
          <t>Nott</t>
        </is>
      </c>
      <c r="B10" s="54" t="n">
        <v>22.1</v>
      </c>
      <c r="C10" s="54" t="n">
        <v>73.8</v>
      </c>
    </row>
    <row r="11">
      <c r="A11" s="53" t="inlineStr">
        <is>
          <t>Ohm</t>
        </is>
      </c>
      <c r="B11" s="54" t="n">
        <v>36.2</v>
      </c>
      <c r="C11" s="54" t="n">
        <v>60.4</v>
      </c>
    </row>
    <row r="12">
      <c r="A12" s="51" t="inlineStr">
        <is>
          <t>Orawan</t>
        </is>
      </c>
      <c r="B12" s="52" t="n">
        <v>36.3</v>
      </c>
      <c r="C12" s="52" t="n">
        <v>60</v>
      </c>
    </row>
    <row r="13">
      <c r="A13" s="53" t="inlineStr">
        <is>
          <t>Pipat</t>
        </is>
      </c>
      <c r="B13" s="54" t="n">
        <v>20.1</v>
      </c>
      <c r="C13" s="54" t="n">
        <v>75.7</v>
      </c>
    </row>
    <row r="14">
      <c r="A14" s="51" t="inlineStr">
        <is>
          <t>Pruang</t>
        </is>
      </c>
      <c r="B14" s="52" t="n">
        <v>19.6</v>
      </c>
      <c r="C14" s="52" t="n">
        <v>76.09999999999999</v>
      </c>
    </row>
    <row r="15">
      <c r="A15" s="55" t="inlineStr">
        <is>
          <t>GROUP AVERAGE</t>
        </is>
      </c>
      <c r="B15" s="56">
        <f>AVERAGE(B3:B14)</f>
        <v/>
      </c>
      <c r="C15" s="56">
        <f>AVERAGE(C3:C14)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 ht="22" customHeight="1">
      <c r="A1" s="49" t="inlineStr">
        <is>
          <t>Fat &amp; Muscle Campaign — Baseline vs Progress Comparison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60" t="n"/>
    </row>
    <row r="2" ht="36" customHeight="1">
      <c r="A2" s="50" t="inlineStr">
        <is>
          <t>Name</t>
        </is>
      </c>
      <c r="B2" s="50" t="inlineStr">
        <is>
          <t>Baseline
Body Fat %</t>
        </is>
      </c>
      <c r="C2" s="50" t="inlineStr">
        <is>
          <t>1st Progress
Body Fat %</t>
        </is>
      </c>
      <c r="D2" s="50" t="inlineStr">
        <is>
          <t>2nd Progress
Body Fat %</t>
        </is>
      </c>
      <c r="E2" s="50" t="inlineStr">
        <is>
          <t>3rd Progress
Body Fat %</t>
        </is>
      </c>
      <c r="F2" s="50" t="inlineStr">
        <is>
          <t>4th Progress
Body Fat %</t>
        </is>
      </c>
      <c r="G2" s="50" t="inlineStr">
        <is>
          <t>Δ4 Body Fat
(pp vs Baseline)</t>
        </is>
      </c>
      <c r="H2" s="50" t="inlineStr">
        <is>
          <t>Baseline
Muscle %</t>
        </is>
      </c>
      <c r="I2" s="50" t="inlineStr">
        <is>
          <t>1st Progress
Muscle %</t>
        </is>
      </c>
      <c r="J2" s="50" t="inlineStr">
        <is>
          <t>2nd Progress
Muscle %</t>
        </is>
      </c>
      <c r="K2" s="50" t="inlineStr">
        <is>
          <t>3rd Progress
Muscle %</t>
        </is>
      </c>
      <c r="L2" s="50" t="inlineStr">
        <is>
          <t>4th Progress
Muscle %</t>
        </is>
      </c>
      <c r="M2" s="50" t="inlineStr">
        <is>
          <t>Δ4 Muscle
(pp vs Baseline)</t>
        </is>
      </c>
    </row>
    <row r="3">
      <c r="A3" s="51" t="inlineStr">
        <is>
          <t>Ann</t>
        </is>
      </c>
      <c r="B3" s="52" t="n">
        <v>24.5</v>
      </c>
      <c r="C3" s="52" t="n">
        <v>24.7</v>
      </c>
      <c r="D3" s="52" t="n">
        <v>24.6</v>
      </c>
      <c r="E3" s="52" t="n">
        <v>23.7</v>
      </c>
      <c r="F3" s="52" t="n"/>
      <c r="G3" s="61">
        <f>IFERROR(F3-B3,"")</f>
        <v/>
      </c>
      <c r="H3" s="52" t="n">
        <v>71.40000000000001</v>
      </c>
      <c r="I3" s="52" t="n">
        <v>71.40000000000001</v>
      </c>
      <c r="J3" s="52" t="n">
        <v>71.3</v>
      </c>
      <c r="K3" s="52" t="n">
        <v>72.09999999999999</v>
      </c>
      <c r="L3" s="52" t="n"/>
      <c r="M3" s="61">
        <f>IFERROR(L3-H3,"")</f>
        <v/>
      </c>
    </row>
    <row r="4">
      <c r="A4" s="53" t="inlineStr">
        <is>
          <t>Ben</t>
        </is>
      </c>
      <c r="B4" s="54" t="n">
        <v>27.4</v>
      </c>
      <c r="C4" s="54" t="n"/>
      <c r="D4" s="54" t="n">
        <v>26.3</v>
      </c>
      <c r="E4" s="54" t="n">
        <v>26.2</v>
      </c>
      <c r="F4" s="54" t="n">
        <v>26</v>
      </c>
      <c r="G4" s="62">
        <f>IFERROR(F4-B4,"")</f>
        <v/>
      </c>
      <c r="H4" s="54" t="n">
        <v>68.59999999999999</v>
      </c>
      <c r="I4" s="54" t="n"/>
      <c r="J4" s="54" t="n">
        <v>69.8</v>
      </c>
      <c r="K4" s="54" t="n">
        <v>69.8</v>
      </c>
      <c r="L4" s="54" t="n">
        <v>70.09999999999999</v>
      </c>
      <c r="M4" s="62">
        <f>IFERROR(L4-H4,"")</f>
        <v/>
      </c>
    </row>
    <row r="5">
      <c r="A5" s="51" t="inlineStr">
        <is>
          <t>Best</t>
        </is>
      </c>
      <c r="B5" s="52" t="n">
        <v>26.7</v>
      </c>
      <c r="C5" s="52" t="n"/>
      <c r="D5" s="52" t="n">
        <v>26</v>
      </c>
      <c r="E5" s="52" t="n"/>
      <c r="F5" s="52" t="n">
        <v>25</v>
      </c>
      <c r="G5" s="61">
        <f>IFERROR(F5-B5,"")</f>
        <v/>
      </c>
      <c r="H5" s="52" t="n">
        <v>69.5</v>
      </c>
      <c r="I5" s="52" t="n"/>
      <c r="J5" s="52" t="n">
        <v>70.09999999999999</v>
      </c>
      <c r="K5" s="52" t="n"/>
      <c r="L5" s="52" t="n">
        <v>71</v>
      </c>
      <c r="M5" s="61">
        <f>IFERROR(L5-H5,"")</f>
        <v/>
      </c>
    </row>
    <row r="6">
      <c r="A6" s="53" t="inlineStr">
        <is>
          <t>Bob</t>
        </is>
      </c>
      <c r="B6" s="54" t="n">
        <v>32.7</v>
      </c>
      <c r="C6" s="54" t="n">
        <v>32.6</v>
      </c>
      <c r="D6" s="54" t="n">
        <v>31.9</v>
      </c>
      <c r="E6" s="54" t="n">
        <v>31.9</v>
      </c>
      <c r="F6" s="54" t="n">
        <v>31.6</v>
      </c>
      <c r="G6" s="62">
        <f>IFERROR(F6-B6,"")</f>
        <v/>
      </c>
      <c r="H6" s="54" t="n">
        <v>63.7</v>
      </c>
      <c r="I6" s="54" t="n">
        <v>63.9</v>
      </c>
      <c r="J6" s="54" t="n">
        <v>64.40000000000001</v>
      </c>
      <c r="K6" s="54" t="n">
        <v>64.5</v>
      </c>
      <c r="L6" s="54" t="n">
        <v>64.7</v>
      </c>
      <c r="M6" s="62">
        <f>IFERROR(L6-H6,"")</f>
        <v/>
      </c>
    </row>
    <row r="7">
      <c r="A7" s="51" t="inlineStr">
        <is>
          <t>Jue</t>
        </is>
      </c>
      <c r="B7" s="52" t="n">
        <v>29.2</v>
      </c>
      <c r="C7" s="52" t="n">
        <v>28.8</v>
      </c>
      <c r="D7" s="52" t="n">
        <v>28.7</v>
      </c>
      <c r="E7" s="52" t="n">
        <v>29.3</v>
      </c>
      <c r="F7" s="52" t="n">
        <v>29.2</v>
      </c>
      <c r="G7" s="61">
        <f>IFERROR(F7-B7,"")</f>
        <v/>
      </c>
      <c r="H7" s="52" t="n">
        <v>67</v>
      </c>
      <c r="I7" s="52" t="n">
        <v>67.40000000000001</v>
      </c>
      <c r="J7" s="52" t="n">
        <v>67.5</v>
      </c>
      <c r="K7" s="52" t="n">
        <v>67</v>
      </c>
      <c r="L7" s="52" t="n">
        <v>67</v>
      </c>
      <c r="M7" s="61">
        <f>IFERROR(L7-H7,"")</f>
        <v/>
      </c>
    </row>
    <row r="8">
      <c r="A8" s="53" t="inlineStr">
        <is>
          <t>Maneenund</t>
        </is>
      </c>
      <c r="B8" s="54" t="n">
        <v>39.6</v>
      </c>
      <c r="C8" s="54" t="n">
        <v>39</v>
      </c>
      <c r="D8" s="54" t="n">
        <v>39</v>
      </c>
      <c r="E8" s="54" t="n">
        <v>38.4</v>
      </c>
      <c r="F8" s="54" t="n">
        <v>38.4</v>
      </c>
      <c r="G8" s="62">
        <f>IFERROR(F8-B8,"")</f>
        <v/>
      </c>
      <c r="H8" s="54" t="n">
        <v>56.8</v>
      </c>
      <c r="I8" s="54" t="n">
        <v>57.3</v>
      </c>
      <c r="J8" s="54" t="n">
        <v>57.3</v>
      </c>
      <c r="K8" s="54" t="n">
        <v>57.8</v>
      </c>
      <c r="L8" s="54" t="n">
        <v>57.9</v>
      </c>
      <c r="M8" s="62">
        <f>IFERROR(L8-H8,"")</f>
        <v/>
      </c>
    </row>
    <row r="9">
      <c r="A9" s="51" t="inlineStr">
        <is>
          <t>Nott</t>
        </is>
      </c>
      <c r="B9" s="52" t="n">
        <v>23.3</v>
      </c>
      <c r="C9" s="52" t="n">
        <v>23.9</v>
      </c>
      <c r="D9" s="52" t="n">
        <v>22.7</v>
      </c>
      <c r="E9" s="52" t="n">
        <v>22.6</v>
      </c>
      <c r="F9" s="52" t="n">
        <v>22.1</v>
      </c>
      <c r="G9" s="61">
        <f>IFERROR(F9-B9,"")</f>
        <v/>
      </c>
      <c r="H9" s="52" t="n">
        <v>72.59999999999999</v>
      </c>
      <c r="I9" s="52" t="n">
        <v>72.09999999999999</v>
      </c>
      <c r="J9" s="52" t="n">
        <v>73.09999999999999</v>
      </c>
      <c r="K9" s="52" t="n">
        <v>73.40000000000001</v>
      </c>
      <c r="L9" s="52" t="n">
        <v>73.8</v>
      </c>
      <c r="M9" s="61">
        <f>IFERROR(L9-H9,"")</f>
        <v/>
      </c>
    </row>
    <row r="10">
      <c r="A10" s="53" t="inlineStr">
        <is>
          <t>Ohm</t>
        </is>
      </c>
      <c r="B10" s="54" t="n">
        <v>36.9</v>
      </c>
      <c r="C10" s="54" t="n">
        <v>37</v>
      </c>
      <c r="D10" s="54" t="n">
        <v>36.3</v>
      </c>
      <c r="E10" s="54" t="n">
        <v>36.1</v>
      </c>
      <c r="F10" s="54" t="n">
        <v>36.2</v>
      </c>
      <c r="G10" s="62">
        <f>IFERROR(F10-B10,"")</f>
        <v/>
      </c>
      <c r="H10" s="54" t="n">
        <v>59.7</v>
      </c>
      <c r="I10" s="54" t="n">
        <v>59.7</v>
      </c>
      <c r="J10" s="54" t="n">
        <v>60.4</v>
      </c>
      <c r="K10" s="54" t="n">
        <v>60.5</v>
      </c>
      <c r="L10" s="54" t="n">
        <v>60.4</v>
      </c>
      <c r="M10" s="62">
        <f>IFERROR(L10-H10,"")</f>
        <v/>
      </c>
    </row>
    <row r="11">
      <c r="A11" s="51" t="inlineStr">
        <is>
          <t>Orawan</t>
        </is>
      </c>
      <c r="B11" s="52" t="n">
        <v>37.6</v>
      </c>
      <c r="C11" s="52" t="n">
        <v>37.2</v>
      </c>
      <c r="D11" s="52" t="n">
        <v>36.5</v>
      </c>
      <c r="E11" s="52" t="n">
        <v>36.9</v>
      </c>
      <c r="F11" s="52" t="n">
        <v>36.3</v>
      </c>
      <c r="G11" s="61">
        <f>IFERROR(F11-B11,"")</f>
        <v/>
      </c>
      <c r="H11" s="52" t="n">
        <v>58.6</v>
      </c>
      <c r="I11" s="52" t="n">
        <v>59</v>
      </c>
      <c r="J11" s="52" t="n">
        <v>59.7</v>
      </c>
      <c r="K11" s="52" t="n">
        <v>59.2</v>
      </c>
      <c r="L11" s="52" t="n">
        <v>60</v>
      </c>
      <c r="M11" s="61">
        <f>IFERROR(L11-H11,"")</f>
        <v/>
      </c>
    </row>
    <row r="12">
      <c r="A12" s="53" t="inlineStr">
        <is>
          <t>Pipat</t>
        </is>
      </c>
      <c r="B12" s="54" t="n">
        <v>21.9</v>
      </c>
      <c r="C12" s="54" t="n">
        <v>21.9</v>
      </c>
      <c r="D12" s="54" t="n">
        <v>21</v>
      </c>
      <c r="E12" s="54" t="n">
        <v>20.9</v>
      </c>
      <c r="F12" s="54" t="n">
        <v>20.1</v>
      </c>
      <c r="G12" s="62">
        <f>IFERROR(F12-B12,"")</f>
        <v/>
      </c>
      <c r="H12" s="54" t="n">
        <v>73.90000000000001</v>
      </c>
      <c r="I12" s="54" t="n">
        <v>74</v>
      </c>
      <c r="J12" s="54" t="n">
        <v>74.8</v>
      </c>
      <c r="K12" s="54" t="n">
        <v>74.90000000000001</v>
      </c>
      <c r="L12" s="54" t="n">
        <v>75.7</v>
      </c>
      <c r="M12" s="62">
        <f>IFERROR(L12-H12,"")</f>
        <v/>
      </c>
    </row>
    <row r="13">
      <c r="A13" s="51" t="inlineStr">
        <is>
          <t>Piyathida</t>
        </is>
      </c>
      <c r="B13" s="52" t="n">
        <v>22.75</v>
      </c>
      <c r="C13" s="52" t="n">
        <v>23.1</v>
      </c>
      <c r="D13" s="52" t="n">
        <v>23.6</v>
      </c>
      <c r="E13" s="52" t="n">
        <v>23</v>
      </c>
      <c r="F13" s="52" t="n">
        <v>22.5</v>
      </c>
      <c r="G13" s="61">
        <f>IFERROR(F13-B13,"")</f>
        <v/>
      </c>
      <c r="H13" s="52" t="n">
        <v>72.8</v>
      </c>
      <c r="I13" s="52" t="n">
        <v>72.5</v>
      </c>
      <c r="J13" s="52" t="n">
        <v>72</v>
      </c>
      <c r="K13" s="52" t="n">
        <v>72.59999999999999</v>
      </c>
      <c r="L13" s="52" t="n">
        <v>73.09999999999999</v>
      </c>
      <c r="M13" s="61">
        <f>IFERROR(L13-H13,"")</f>
        <v/>
      </c>
    </row>
    <row r="14">
      <c r="A14" s="53" t="inlineStr">
        <is>
          <t>Pruang</t>
        </is>
      </c>
      <c r="B14" s="54" t="n">
        <v>19.6</v>
      </c>
      <c r="C14" s="54" t="n">
        <v>19.6</v>
      </c>
      <c r="D14" s="54" t="n">
        <v>19.3</v>
      </c>
      <c r="E14" s="54" t="n">
        <v>19.9</v>
      </c>
      <c r="F14" s="54" t="n">
        <v>19.6</v>
      </c>
      <c r="G14" s="62">
        <f>IFERROR(F14-B14,"")</f>
        <v/>
      </c>
      <c r="H14" s="54" t="n">
        <v>76.09999999999999</v>
      </c>
      <c r="I14" s="54" t="n">
        <v>76</v>
      </c>
      <c r="J14" s="54" t="n">
        <v>76.2</v>
      </c>
      <c r="K14" s="54" t="n">
        <v>75.7</v>
      </c>
      <c r="L14" s="54" t="n">
        <v>76.09999999999999</v>
      </c>
      <c r="M14" s="62">
        <f>IFERROR(L14-H14,"")</f>
        <v/>
      </c>
    </row>
    <row r="15">
      <c r="A15" s="51" t="inlineStr">
        <is>
          <t>Sonny</t>
        </is>
      </c>
      <c r="B15" s="52" t="n">
        <v>21.15</v>
      </c>
      <c r="C15" s="52" t="n">
        <v>20.8</v>
      </c>
      <c r="D15" s="52" t="n">
        <v>20.8</v>
      </c>
      <c r="E15" s="52" t="n">
        <v>20.7</v>
      </c>
      <c r="F15" s="52" t="n"/>
      <c r="G15" s="61">
        <f>IFERROR(F15-B15,"")</f>
        <v/>
      </c>
      <c r="H15" s="52" t="n">
        <v>74.55</v>
      </c>
      <c r="I15" s="52" t="n">
        <v>74.8</v>
      </c>
      <c r="J15" s="52" t="n">
        <v>74.90000000000001</v>
      </c>
      <c r="K15" s="52" t="n">
        <v>75</v>
      </c>
      <c r="L15" s="52" t="n"/>
      <c r="M15" s="61">
        <f>IFERROR(L15-H15,"")</f>
        <v/>
      </c>
    </row>
    <row r="16">
      <c r="A16" s="53" t="inlineStr">
        <is>
          <t>Wason</t>
        </is>
      </c>
      <c r="B16" s="54" t="n">
        <v>30.1</v>
      </c>
      <c r="C16" s="54" t="n"/>
      <c r="D16" s="54" t="n">
        <v>29.6</v>
      </c>
      <c r="E16" s="54" t="n">
        <v>30</v>
      </c>
      <c r="F16" s="54" t="n">
        <v>29.7</v>
      </c>
      <c r="G16" s="62">
        <f>IFERROR(F16-B16,"")</f>
        <v/>
      </c>
      <c r="H16" s="54" t="n">
        <v>66.2</v>
      </c>
      <c r="I16" s="54" t="n"/>
      <c r="J16" s="54" t="n">
        <v>66.7</v>
      </c>
      <c r="K16" s="54" t="n">
        <v>66.40000000000001</v>
      </c>
      <c r="L16" s="54" t="n">
        <v>66.59999999999999</v>
      </c>
      <c r="M16" s="62">
        <f>IFERROR(L16-H16,"")</f>
        <v/>
      </c>
    </row>
    <row r="17">
      <c r="A17" s="55" t="inlineStr">
        <is>
          <t>GROUP AVERAGE</t>
        </is>
      </c>
      <c r="B17" s="56">
        <f>IFERROR(AVERAGEIF(B3:B16,"&lt;&gt;"),"")</f>
        <v/>
      </c>
      <c r="C17" s="56">
        <f>IFERROR(AVERAGEIF(C3:C16,"&lt;&gt;"),"")</f>
        <v/>
      </c>
      <c r="D17" s="56">
        <f>IFERROR(AVERAGEIF(D3:D16,"&lt;&gt;"),"")</f>
        <v/>
      </c>
      <c r="E17" s="56">
        <f>IFERROR(AVERAGEIF(E3:E16,"&lt;&gt;"),"")</f>
        <v/>
      </c>
      <c r="F17" s="56">
        <f>IFERROR(AVERAGEIF(F3:F16,"&lt;&gt;"),"")</f>
        <v/>
      </c>
      <c r="G17" s="56">
        <f>IFERROR(AVERAGEIF(G3:G16,"&lt;&gt;"),"")</f>
        <v/>
      </c>
      <c r="H17" s="56">
        <f>IFERROR(AVERAGEIF(H3:H16,"&lt;&gt;"),"")</f>
        <v/>
      </c>
      <c r="I17" s="56">
        <f>IFERROR(AVERAGEIF(I3:I16,"&lt;&gt;"),"")</f>
        <v/>
      </c>
      <c r="J17" s="56">
        <f>IFERROR(AVERAGEIF(J3:J16,"&lt;&gt;"),"")</f>
        <v/>
      </c>
      <c r="K17" s="56">
        <f>IFERROR(AVERAGEIF(K3:K16,"&lt;&gt;"),"")</f>
        <v/>
      </c>
      <c r="L17" s="56">
        <f>IFERROR(AVERAGEIF(L3:L16,"&lt;&gt;"),"")</f>
        <v/>
      </c>
      <c r="M17" s="56">
        <f>IFERROR(AVERAGEIF(M3:M16,"&lt;&gt;"),"")</f>
        <v/>
      </c>
    </row>
    <row r="18">
      <c r="A18" s="48" t="n"/>
      <c r="B18" s="48" t="n"/>
      <c r="C18" s="48" t="n"/>
      <c r="D18" s="48" t="n"/>
      <c r="E18" s="48" t="n"/>
      <c r="G18" s="48" t="n"/>
      <c r="H18" s="48" t="n"/>
      <c r="I18" s="48" t="n"/>
      <c r="J18" s="48" t="n"/>
      <c r="K18" s="48" t="n"/>
      <c r="M18" s="48" t="n"/>
    </row>
    <row r="19">
      <c r="A19" s="48" t="n"/>
      <c r="B19" s="48" t="n"/>
      <c r="C19" s="48" t="n"/>
      <c r="D19" s="48" t="n"/>
      <c r="E19" s="48" t="n"/>
      <c r="G19" s="48" t="n"/>
      <c r="H19" s="48" t="n"/>
      <c r="I19" s="48" t="n"/>
      <c r="J19" s="48" t="n"/>
      <c r="K19" s="48" t="n"/>
      <c r="M19" s="48" t="n"/>
    </row>
    <row r="20">
      <c r="A20" s="48" t="n"/>
      <c r="B20" s="48" t="n"/>
      <c r="C20" s="48" t="n"/>
      <c r="D20" s="48" t="n"/>
      <c r="E20" s="48" t="n"/>
      <c r="G20" s="48" t="n"/>
      <c r="H20" s="48" t="n"/>
      <c r="I20" s="48" t="n"/>
      <c r="J20" s="48" t="n"/>
      <c r="K20" s="48" t="n"/>
      <c r="M20" s="48" t="n"/>
    </row>
    <row r="21">
      <c r="A21" s="48" t="n"/>
      <c r="B21" s="48" t="n"/>
      <c r="C21" s="48" t="n"/>
      <c r="D21" s="48" t="n"/>
      <c r="E21" s="48" t="n"/>
      <c r="G21" s="48" t="n"/>
      <c r="H21" s="48" t="n"/>
      <c r="I21" s="48" t="n"/>
      <c r="J21" s="48" t="n"/>
      <c r="K21" s="48" t="n"/>
      <c r="M21" s="48" t="n"/>
    </row>
    <row r="22">
      <c r="A22" s="48" t="n"/>
      <c r="B22" s="48" t="n"/>
      <c r="C22" s="48" t="n"/>
      <c r="D22" s="48" t="n"/>
      <c r="E22" s="48" t="n"/>
      <c r="G22" s="48" t="n"/>
      <c r="H22" s="48" t="n"/>
      <c r="I22" s="48" t="n"/>
      <c r="J22" s="48" t="n"/>
      <c r="K22" s="48" t="n"/>
      <c r="M22" s="48" t="n"/>
    </row>
    <row r="23">
      <c r="A23" s="48" t="n"/>
      <c r="B23" s="48" t="n"/>
      <c r="C23" s="48" t="n"/>
      <c r="D23" s="48" t="n"/>
      <c r="E23" s="48" t="n"/>
      <c r="G23" s="48" t="n"/>
      <c r="H23" s="48" t="n"/>
      <c r="I23" s="48" t="n"/>
      <c r="J23" s="48" t="n"/>
      <c r="K23" s="48" t="n"/>
      <c r="M23" s="48" t="n"/>
    </row>
    <row r="24">
      <c r="A24" s="48" t="n"/>
      <c r="B24" s="48" t="n"/>
      <c r="C24" s="48" t="n"/>
      <c r="D24" s="48" t="n"/>
      <c r="E24" s="48" t="n"/>
      <c r="G24" s="48" t="n"/>
      <c r="H24" s="48" t="n"/>
      <c r="I24" s="48" t="n"/>
      <c r="J24" s="48" t="n"/>
      <c r="K24" s="48" t="n"/>
      <c r="M24" s="48" t="n"/>
    </row>
  </sheetData>
  <mergeCells count="3">
    <mergeCell ref="A1:I1"/>
    <mergeCell ref="A1:K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2026-04-20T08:28:48Z</dcterms:created>
  <dcterms:modified xmlns:dcterms="http://purl.org/dc/terms/" xmlns:xsi="http://www.w3.org/2001/XMLSchema-instance" xsi:type="dcterms:W3CDTF">2026-05-20T01:16:23Z</dcterms:modified>
</cp:coreProperties>
</file>